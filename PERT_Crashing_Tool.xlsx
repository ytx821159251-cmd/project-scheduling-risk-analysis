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puts" sheetId="2" r:id="rId5"/>
    <sheet state="visible" name="Network Paths" sheetId="3" r:id="rId6"/>
    <sheet state="visible" name="Project Summary" sheetId="4" r:id="rId7"/>
    <sheet state="visible" name="Crashing Log" sheetId="5" r:id="rId8"/>
    <sheet state="visible" name="Cost-Time Tradeoff" sheetId="6" r:id="rId9"/>
    <sheet state="visible" name="Scenario Notes" sheetId="7" r:id="rId10"/>
  </sheets>
  <definedNames/>
  <calcPr/>
  <extLst>
    <ext uri="GoogleSheetsCustomDataVersion2">
      <go:sheetsCustomData xmlns:go="http://customooxmlschemas.google.com/" r:id="rId11" roundtripDataChecksum="jggB8ndcZHtxOPTkVJekmFytGaIf5gPRuXzrWIhEH2U="/>
    </ext>
  </extLst>
</workbook>
</file>

<file path=xl/sharedStrings.xml><?xml version="1.0" encoding="utf-8"?>
<sst xmlns="http://schemas.openxmlformats.org/spreadsheetml/2006/main" count="223" uniqueCount="207">
  <si>
    <t>PERT + Crashing Analysis Tool</t>
  </si>
  <si>
    <t>OPSMGT 357 — ANZ Analytics Innovation Conference (2026)</t>
  </si>
  <si>
    <t>How to use this workbook</t>
  </si>
  <si>
    <t>1.  Inputs sheet</t>
  </si>
  <si>
    <t>Task data is already filled in from the case. The yellow column 'Crash Days Applied' is your control. Set values 0 to Max Crash for each task to test scenarios.</t>
  </si>
  <si>
    <t>2.  Network Paths sheet</t>
  </si>
  <si>
    <t>Lists all 5 paths from start to finish. Each path's length and variance recalculates from Inputs. Critical path is auto-highlighted (the longest one).</t>
  </si>
  <si>
    <t>3.  Project Summary sheet</t>
  </si>
  <si>
    <t>Shows current project duration, direct cost, indirect cost, total cost, and probability of finishing by your target date. Set the target on this sheet.</t>
  </si>
  <si>
    <t>4.  Crashing Log sheet</t>
  </si>
  <si>
    <t>Use this to record your crashing decisions step by step for Scenarios 1, 2, 3. Each row = 1 crash decision.</t>
  </si>
  <si>
    <t>5.  Cost-Time Tradeoff sheet</t>
  </si>
  <si>
    <t>After running crashing analysis, fill in this table to plot the cost vs duration curve (for Scenario 2).</t>
  </si>
  <si>
    <t>6.  Scenario Notes sheet</t>
  </si>
  <si>
    <t>Brief reminders of what each scenario asks. Use this as your checklist.</t>
  </si>
  <si>
    <t>Color conventions</t>
  </si>
  <si>
    <t>Yellow cells with blue text</t>
  </si>
  <si>
    <t>Inputs you can change.</t>
  </si>
  <si>
    <t>Black text</t>
  </si>
  <si>
    <t>Formulas — do not type over these.</t>
  </si>
  <si>
    <t>Green text</t>
  </si>
  <si>
    <t>Links pulling values from another sheet.</t>
  </si>
  <si>
    <t>Red highlight</t>
  </si>
  <si>
    <t>Critical path or warning.</t>
  </si>
  <si>
    <t>Green highlight</t>
  </si>
  <si>
    <t>Result / output cell.</t>
  </si>
  <si>
    <t>Important conventions (from case study)</t>
  </si>
  <si>
    <t>Expected Time</t>
  </si>
  <si>
    <t>Rounded UP to nearest whole day (conservative).</t>
  </si>
  <si>
    <t>Standard Deviation</t>
  </si>
  <si>
    <t>Rounded to 1 decimal.</t>
  </si>
  <si>
    <t>Indirect Cost</t>
  </si>
  <si>
    <t>$4,200 per day saved. Original plan = $90,000 total.</t>
  </si>
  <si>
    <t>What this tool does NOT do for you</t>
  </si>
  <si>
    <t>• Identify which crashing strategy is optimal — you must reason through it.</t>
  </si>
  <si>
    <t>• Decide whether the 45-day deadline is feasible — you must interpret results.</t>
  </si>
  <si>
    <t>• Write the literature review, recommendations, or report.</t>
  </si>
  <si>
    <t>• Verify your own arithmetic — always cross-check with hand calculations.</t>
  </si>
  <si>
    <t>Suggested workflow for your group of 4</t>
  </si>
  <si>
    <t>Step 1 (together)</t>
  </si>
  <si>
    <t>Verify baseline: keep all 'Crash Days Applied' = 0. Confirm CP duration = 46 days. Each person hand-verifies a few rows.</t>
  </si>
  <si>
    <t>Step 2 (Scenario 1)</t>
  </si>
  <si>
    <t>Crash critical path tasks until P(≤45 days) ≥ 95%. Log each step in Crashing Log.</t>
  </si>
  <si>
    <t>Step 3 (Scenario 2)</t>
  </si>
  <si>
    <t>Continue crashing one cheapest day at a time. Build Cost-Time table. Find minimum total cost.</t>
  </si>
  <si>
    <t>Step 4 (Scenario 3)</t>
  </si>
  <si>
    <t>Crash everything possible. Record min duration + total cost.</t>
  </si>
  <si>
    <t>Step 5 (Scenarios 4 &amp; 5)</t>
  </si>
  <si>
    <t>Modify Task 4 ET (subtract 7, set Max Crash to 0) for Scenario 4. For Scenario 5, change Task 8 Max Crash from 2 to 5. Re-run analysis.</t>
  </si>
  <si>
    <t>Step 6 (write-up)</t>
  </si>
  <si>
    <t>Each person drafts their assigned section. D-person integrates.</t>
  </si>
  <si>
    <t>Task Inputs — ANZ Analytics Innovation Conference</t>
  </si>
  <si>
    <t>Modify the YELLOW 'Crash Days Applied' column to test scenarios. All other columns auto-calculate.</t>
  </si>
  <si>
    <t>Task ID</t>
  </si>
  <si>
    <t>Task Name</t>
  </si>
  <si>
    <t>Predecessors</t>
  </si>
  <si>
    <t>a</t>
  </si>
  <si>
    <t>m</t>
  </si>
  <si>
    <t>b</t>
  </si>
  <si>
    <t>ET (rounded up)</t>
  </si>
  <si>
    <t>σ (1 dp)</t>
  </si>
  <si>
    <t>σ² (Variance)</t>
  </si>
  <si>
    <t>Normal Cost ($)</t>
  </si>
  <si>
    <t>Max Crash (days)</t>
  </si>
  <si>
    <t>Crash $/day</t>
  </si>
  <si>
    <t>Crash Days Applied</t>
  </si>
  <si>
    <t>Crashed Duration</t>
  </si>
  <si>
    <t>Crash Cost ($)</t>
  </si>
  <si>
    <t>Initial Project Kick-Off</t>
  </si>
  <si>
    <t>—</t>
  </si>
  <si>
    <t>Define Conference Themes &amp; Tracks</t>
  </si>
  <si>
    <t>1</t>
  </si>
  <si>
    <t>Keynote Speaker Identification</t>
  </si>
  <si>
    <t>Venue Booking &amp; Contracting</t>
  </si>
  <si>
    <t>Hybrid Technical Setup</t>
  </si>
  <si>
    <t>4</t>
  </si>
  <si>
    <t>Sponsorship Package Development</t>
  </si>
  <si>
    <t>2</t>
  </si>
  <si>
    <t>Sponsor Outreach &amp; Negotiation</t>
  </si>
  <si>
    <t>6</t>
  </si>
  <si>
    <t>Keynote Speaker Confirmation</t>
  </si>
  <si>
    <t>3</t>
  </si>
  <si>
    <t>Marketing Plan Development</t>
  </si>
  <si>
    <t>2, 8</t>
  </si>
  <si>
    <t>Promotional Campaign Execution</t>
  </si>
  <si>
    <t>9</t>
  </si>
  <si>
    <t>Catering &amp; Layout Planning</t>
  </si>
  <si>
    <t>Volunteer Recruitment &amp; Training</t>
  </si>
  <si>
    <t>11</t>
  </si>
  <si>
    <t>On-Site Logistics Preparation</t>
  </si>
  <si>
    <t>5, 7, 12</t>
  </si>
  <si>
    <t>Conference Delivery Day</t>
  </si>
  <si>
    <t>13, 10</t>
  </si>
  <si>
    <t>Post-Event Feedback &amp; Reporting</t>
  </si>
  <si>
    <t>14</t>
  </si>
  <si>
    <t>TOTALS</t>
  </si>
  <si>
    <t>Direct cost →</t>
  </si>
  <si>
    <t>Crash cost →</t>
  </si>
  <si>
    <t>TOTAL DIRECT COST →</t>
  </si>
  <si>
    <t>Network Paths &amp; Critical Path Identification</t>
  </si>
  <si>
    <t>All 5 paths from start (Task 1) to finish (Task 15). Path length = sum of crashed durations along that path. Critical path = the longest one.</t>
  </si>
  <si>
    <t>Path</t>
  </si>
  <si>
    <t>Route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</si>
  <si>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</si>
  <si>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</si>
  <si>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</si>
  <si>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</si>
  <si>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</si>
  <si>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</si>
  <si>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</si>
  <si>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</si>
  <si>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</si>
  <si>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</si>
  <si>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</si>
  <si>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</si>
  <si>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</si>
  <si>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</si>
  <si>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</si>
  <si>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Length (days)</t>
  </si>
  <si>
    <t>Variance</t>
  </si>
  <si>
    <t>Std Dev</t>
  </si>
  <si>
    <t>Critical?</t>
  </si>
  <si>
    <t>Path A</t>
  </si>
  <si>
    <t>1→2→6→7→13→14→15</t>
  </si>
  <si>
    <t>Path B</t>
  </si>
  <si>
    <t>1→2→9→10→14→15</t>
  </si>
  <si>
    <t>Path C</t>
  </si>
  <si>
    <t>1→3→8→9→10→14→15</t>
  </si>
  <si>
    <t>Path D</t>
  </si>
  <si>
    <t>1→4→5→13→14→15</t>
  </si>
  <si>
    <t>Path E</t>
  </si>
  <si>
    <t>1→4→11→12→13→14→15</t>
  </si>
  <si>
    <t>Project Duration (Critical Path):</t>
  </si>
  <si>
    <t>Critical Path Variance (max-variance critical path):</t>
  </si>
  <si>
    <t>Critical Path Std Dev:</t>
  </si>
  <si>
    <t>Project Summary — Duration, Cost, Probability</t>
  </si>
  <si>
    <t>All values update automatically when you change Crash Days Applied in the Inputs sheet.</t>
  </si>
  <si>
    <t>INPUTS</t>
  </si>
  <si>
    <t>Target Project Duration (days)</t>
  </si>
  <si>
    <t>← Change to test probability of finishing by other dates</t>
  </si>
  <si>
    <t>Baseline Project Duration (days)</t>
  </si>
  <si>
    <t>← Original CP duration (set Crash Days = 0 and read from Network Paths)</t>
  </si>
  <si>
    <t>Indirect Cost per Day Saved ($)</t>
  </si>
  <si>
    <t>Total Indirect Cost (baseline)</t>
  </si>
  <si>
    <t>CURRENT PROJECT STATE</t>
  </si>
  <si>
    <t>Current Project Duration (days)</t>
  </si>
  <si>
    <t>Critical Path Variance</t>
  </si>
  <si>
    <t>Critical Path Std Dev</t>
  </si>
  <si>
    <t>PROBABILITY ANALYSIS</t>
  </si>
  <si>
    <t>Z-value = (Target − CP Duration) / σ_CP</t>
  </si>
  <si>
    <t>P(Project ≤ Target Days)</t>
  </si>
  <si>
    <t>↑ If this is below 95% for Scenario 1, you need more crashing.</t>
  </si>
  <si>
    <t>COST ANALYSIS</t>
  </si>
  <si>
    <t>Total Normal Direct Cost</t>
  </si>
  <si>
    <t>Total Crash Cost Applied</t>
  </si>
  <si>
    <t>TOTAL DIRECT COST</t>
  </si>
  <si>
    <t>Days Saved (vs baseline)</t>
  </si>
  <si>
    <t>Indirect Cost Saved</t>
  </si>
  <si>
    <t>Current Indirect Cost</t>
  </si>
  <si>
    <t>TOTAL PROJECT COST (Direct + Indirect)</t>
  </si>
  <si>
    <t>Crashing Decision Log</t>
  </si>
  <si>
    <t>Record your step-by-step crashing decisions here. Use one row per crash step. At each step: identify the cheapest crashable task on the critical path, crash it 1 day, and check the new state in Project Summary.</t>
  </si>
  <si>
    <t>Reminders for crashing logic:</t>
  </si>
  <si>
    <t>1. Only crash tasks that are ON the critical path.</t>
  </si>
  <si>
    <t>2. If multiple paths are critical, you may need to crash one task on EACH critical path that day (or one task that is on multiple critical paths).</t>
  </si>
  <si>
    <t>3. Always pick the cheapest $/day option among eligible tasks.</t>
  </si>
  <si>
    <t>4. Stop crashing when: (a) target probability reached, (b) all critical-path tasks at max crash, or (c) marginal cost of crashing &gt; $4,200 (indirect savings).</t>
  </si>
  <si>
    <t>5. Record each step below so you can write it up in your report.</t>
  </si>
  <si>
    <t>Step</t>
  </si>
  <si>
    <t>Task Crashed</t>
  </si>
  <si>
    <t>Days Crashed (this step)</t>
  </si>
  <si>
    <t>Step Cost</t>
  </si>
  <si>
    <t>Cumulative Crash Cost</t>
  </si>
  <si>
    <t>New CP Duration</t>
  </si>
  <si>
    <t>P(≤ target)</t>
  </si>
  <si>
    <t>Cost–Time Tradeoff Table (for Scenario 2)</t>
  </si>
  <si>
    <t>Fill this in as you crash. For each project duration achievable, record the direct and indirect costs. Total cost minimum = optimum point.</t>
  </si>
  <si>
    <t>Project Duration (days)</t>
  </si>
  <si>
    <t>Cumulative Crash Cost ($)</t>
  </si>
  <si>
    <t>Total Direct Cost ($)</t>
  </si>
  <si>
    <t>Indirect Cost ($)</t>
  </si>
  <si>
    <t>Total Cost ($)</t>
  </si>
  <si>
    <t>Notes</t>
  </si>
  <si>
    <t>Minimum Total Cost:</t>
  </si>
  <si>
    <t>Optimum Project Duration (days):</t>
  </si>
  <si>
    <t>Scenario Analysis Guide</t>
  </si>
  <si>
    <t>Reminder of what each scenario asks. Tick off as you complete.</t>
  </si>
  <si>
    <t>Baseline</t>
  </si>
  <si>
    <t>What to do:</t>
  </si>
  <si>
    <t>Set all Crash Days Applied = 0 in Inputs sheet.</t>
  </si>
  <si>
    <t>Report deliverable:</t>
  </si>
  <si>
    <t>Expected CP duration ≈ 46 days. P(≤45) ≈ 37%. This is your starting point.</t>
  </si>
  <si>
    <t>Scenario 1: 95% confidence in 45 days</t>
  </si>
  <si>
    <t>Crash critical-path tasks (cheapest $/day first) until P(≤45 days) in Project Summary ≥ 95%.</t>
  </si>
  <si>
    <t>Report: (a) which tasks crashed, (b) days each crashed, (c) total crash cost, (d) new ET and probability, (e) whether 45 days is realistic.</t>
  </si>
  <si>
    <t>Scenario 2: Cost–Time Optimum</t>
  </si>
  <si>
    <t>From baseline, crash one day at a time. After each crash, check if marginal crash cost &lt; $4,200 indirect savings. Continue until marginal crash cost &gt; $4,200. Fill Cost-Time Tradeoff sheet.</t>
  </si>
  <si>
    <t>Report: (a) optimum duration, (b) minimum total cost, (c) which tasks crashed and by how much, (d) graph (you can chart Cost-Time Tradeoff sheet).</t>
  </si>
  <si>
    <t>Scenario 3: Minimum Duration</t>
  </si>
  <si>
    <t>Crash every eligible task by its max amount (set Crash Days Applied = Max Crash for tasks with crash capacity).</t>
  </si>
  <si>
    <t>Report: (a) min possible duration, (b) total direct cost, (c) total indirect cost, (d) total cost, (e) cost-benefit judgment.</t>
  </si>
  <si>
    <t>Scenario 4: Task 4 reduced by 7 days, no crash</t>
  </si>
  <si>
    <t>In Inputs: override Task 4 ET by editing a/m/b so ET drops by 7 (or temporarily hard-code Crashed Duration = original ET − 7 via Crash Days Applied = 7, and treat crash cost as 0 by NOT including it; simplest is to override Crash Days Applied = 7 and set Crash $/day to 0 temporarily). Then re-check critical path.</t>
  </si>
  <si>
    <t>Report: (a) new network and CP, (b) does optimum point change, (c) is 45-day target now easier?</t>
  </si>
  <si>
    <t>Scenario 5: Task 8 can be crashed 3 more days</t>
  </si>
  <si>
    <t>In Inputs: change Task 8 Max Crash from 2 to 5. Crash cost per day stays the same.</t>
  </si>
  <si>
    <t>Report: (a) new optimum duration, (b) new min total cost, (c) does CP change, (d) impact on 45-day target.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</si>
</sst>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\$#,##0"/>
    <numFmt numFmtId="166" formatCode="0.000"/>
    <numFmt numFmtId="167" formatCode="0.0000"/>
  </numFmts>
  <fonts count="17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0.0"/>
      <color rgb="FF666666"/>
      <name val="Arial"/>
    </font>
    <font>
      <b/>
      <sz val="11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4.0"/>
      <color rgb="FF1F4E78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FFFFFF"/>
      <name val="Arial"/>
    </font>
    <font>
      <b/>
      <sz val="11.0"/>
      <color rgb="FF008000"/>
      <name val="Arial"/>
    </font>
    <font>
      <sz val="10.0"/>
      <color rgb="FF008000"/>
      <name val="Arial"/>
    </font>
    <font>
      <b/>
      <sz val="12.0"/>
      <color rgb="FFC00000"/>
      <name val="Arial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DDEBF7"/>
        <bgColor rgb="FFDDEBF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bottom" wrapText="0"/>
    </xf>
    <xf borderId="4" fillId="3" fontId="8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4" fillId="0" fontId="10" numFmtId="2" xfId="0" applyAlignment="1" applyBorder="1" applyFont="1" applyNumberFormat="1">
      <alignment horizontal="center" shrinkToFit="0" vertical="center" wrapText="1"/>
    </xf>
    <xf borderId="4" fillId="0" fontId="9" numFmtId="165" xfId="0" applyAlignment="1" applyBorder="1" applyFont="1" applyNumberFormat="1">
      <alignment horizontal="right" shrinkToFit="0" vertical="center" wrapText="0"/>
    </xf>
    <xf borderId="4" fillId="4" fontId="11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0" numFmtId="165" xfId="0" applyAlignment="1" applyBorder="1" applyFont="1" applyNumberFormat="1">
      <alignment horizontal="right" shrinkToFit="0" vertical="center" wrapText="0"/>
    </xf>
    <xf borderId="4" fillId="4" fontId="1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center" wrapText="0"/>
    </xf>
    <xf borderId="5" fillId="5" fontId="5" numFmtId="165" xfId="0" applyAlignment="1" applyBorder="1" applyFill="1" applyFont="1" applyNumberFormat="1">
      <alignment horizontal="right" shrinkToFit="0" vertical="center" wrapText="0"/>
    </xf>
    <xf borderId="4" fillId="6" fontId="12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10" numFmtId="166" xfId="0" applyAlignment="1" applyBorder="1" applyFont="1" applyNumberForma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5" fontId="3" numFmtId="2" xfId="0" applyAlignment="1" applyBorder="1" applyFont="1" applyNumberFormat="1">
      <alignment horizontal="center" shrinkToFit="0" vertical="center" wrapText="1"/>
    </xf>
    <xf borderId="4" fillId="5" fontId="3" numFmtId="166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4" fontId="11" numFmtId="165" xfId="0" applyAlignment="1" applyBorder="1" applyFont="1" applyNumberFormat="1">
      <alignment horizontal="right" shrinkToFit="0" vertical="center" wrapText="0"/>
    </xf>
    <xf borderId="4" fillId="5" fontId="13" numFmtId="0" xfId="0" applyAlignment="1" applyBorder="1" applyFont="1">
      <alignment horizontal="center" shrinkToFit="0" vertical="center" wrapText="1"/>
    </xf>
    <xf borderId="4" fillId="0" fontId="14" numFmtId="2" xfId="0" applyAlignment="1" applyBorder="1" applyFont="1" applyNumberFormat="1">
      <alignment horizontal="center" shrinkToFit="0" vertical="center" wrapText="1"/>
    </xf>
    <xf borderId="4" fillId="0" fontId="14" numFmtId="166" xfId="0" applyAlignment="1" applyBorder="1" applyFont="1" applyNumberFormat="1">
      <alignment horizontal="center" shrinkToFit="0" vertical="center" wrapText="1"/>
    </xf>
    <xf borderId="4" fillId="0" fontId="3" numFmtId="167" xfId="0" applyAlignment="1" applyBorder="1" applyFont="1" applyNumberFormat="1">
      <alignment horizontal="center" shrinkToFit="0" vertical="center" wrapText="1"/>
    </xf>
    <xf borderId="4" fillId="5" fontId="15" numFmtId="10" xfId="0" applyAlignment="1" applyBorder="1" applyFont="1" applyNumberFormat="1">
      <alignment horizontal="center" shrinkToFit="0" vertical="center" wrapText="1"/>
    </xf>
    <xf borderId="4" fillId="0" fontId="14" numFmtId="165" xfId="0" applyAlignment="1" applyBorder="1" applyFont="1" applyNumberFormat="1">
      <alignment horizontal="right" shrinkToFit="0" vertical="center" wrapText="0"/>
    </xf>
    <xf borderId="4" fillId="5" fontId="3" numFmtId="165" xfId="0" applyAlignment="1" applyBorder="1" applyFont="1" applyNumberFormat="1">
      <alignment horizontal="right" shrinkToFit="0" vertical="center" wrapText="0"/>
    </xf>
    <xf borderId="0" fillId="0" fontId="16" numFmtId="0" xfId="0" applyAlignment="1" applyFont="1">
      <alignment shrinkToFit="0" vertical="bottom" wrapText="0"/>
    </xf>
    <xf borderId="4" fillId="5" fontId="15" numFmtId="165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shrinkToFit="0" vertical="bottom" wrapText="0"/>
    </xf>
    <xf borderId="4" fillId="4" fontId="11" numFmtId="0" xfId="0" applyAlignment="1" applyBorder="1" applyFont="1">
      <alignment shrinkToFit="0" vertical="bottom" wrapText="0"/>
    </xf>
    <xf borderId="4" fillId="0" fontId="5" numFmtId="165" xfId="0" applyAlignment="1" applyBorder="1" applyFont="1" applyNumberFormat="1">
      <alignment horizontal="right" shrinkToFit="0" vertical="center" wrapText="0"/>
    </xf>
    <xf borderId="4" fillId="5" fontId="1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25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C4" s="4"/>
      <c r="D4" s="4"/>
      <c r="E4" s="5"/>
    </row>
    <row r="6" ht="23.25" customHeight="1">
      <c r="A6" s="6" t="s">
        <v>3</v>
      </c>
      <c r="B6" s="7" t="s">
        <v>4</v>
      </c>
    </row>
    <row r="7" ht="23.25" customHeight="1">
      <c r="A7" s="6" t="s">
        <v>5</v>
      </c>
      <c r="B7" s="7" t="s">
        <v>6</v>
      </c>
    </row>
    <row r="8" ht="23.25" customHeight="1">
      <c r="A8" s="6" t="s">
        <v>7</v>
      </c>
      <c r="B8" s="7" t="s">
        <v>8</v>
      </c>
    </row>
    <row r="9" ht="15.0" customHeight="1">
      <c r="A9" s="6" t="s">
        <v>9</v>
      </c>
      <c r="B9" s="7" t="s">
        <v>10</v>
      </c>
    </row>
    <row r="10" ht="15.0" customHeight="1">
      <c r="A10" s="6" t="s">
        <v>11</v>
      </c>
      <c r="B10" s="7" t="s">
        <v>12</v>
      </c>
    </row>
    <row r="11" ht="15.0" customHeight="1">
      <c r="A11" s="6" t="s">
        <v>13</v>
      </c>
      <c r="B11" s="7" t="s">
        <v>14</v>
      </c>
    </row>
    <row r="13">
      <c r="A13" s="3" t="s">
        <v>15</v>
      </c>
      <c r="B13" s="4"/>
      <c r="C13" s="4"/>
      <c r="D13" s="4"/>
      <c r="E13" s="5"/>
    </row>
    <row r="14" ht="15.0" customHeight="1">
      <c r="A14" s="6" t="s">
        <v>16</v>
      </c>
      <c r="B14" s="7" t="s">
        <v>17</v>
      </c>
    </row>
    <row r="15" ht="15.0" customHeight="1">
      <c r="A15" s="6" t="s">
        <v>18</v>
      </c>
      <c r="B15" s="7" t="s">
        <v>19</v>
      </c>
    </row>
    <row r="16" ht="15.0" customHeight="1">
      <c r="A16" s="6" t="s">
        <v>20</v>
      </c>
      <c r="B16" s="7" t="s">
        <v>21</v>
      </c>
    </row>
    <row r="17" ht="15.0" customHeight="1">
      <c r="A17" s="6" t="s">
        <v>22</v>
      </c>
      <c r="B17" s="7" t="s">
        <v>23</v>
      </c>
    </row>
    <row r="18" ht="15.0" customHeight="1">
      <c r="A18" s="6" t="s">
        <v>24</v>
      </c>
      <c r="B18" s="7" t="s">
        <v>25</v>
      </c>
    </row>
    <row r="20">
      <c r="A20" s="3" t="s">
        <v>26</v>
      </c>
      <c r="B20" s="4"/>
      <c r="C20" s="4"/>
      <c r="D20" s="4"/>
      <c r="E20" s="5"/>
    </row>
    <row r="21" ht="15.0" customHeight="1">
      <c r="A21" s="6" t="s">
        <v>27</v>
      </c>
      <c r="B21" s="7" t="s">
        <v>28</v>
      </c>
    </row>
    <row r="22" ht="15.0" customHeight="1">
      <c r="A22" s="6" t="s">
        <v>29</v>
      </c>
      <c r="B22" s="7" t="s">
        <v>30</v>
      </c>
    </row>
    <row r="23" ht="15.0" customHeight="1">
      <c r="A23" s="6" t="s">
        <v>31</v>
      </c>
      <c r="B23" s="7" t="s">
        <v>32</v>
      </c>
    </row>
    <row r="24" ht="15.75" customHeight="1"/>
    <row r="25" ht="15.75" customHeight="1">
      <c r="A25" s="3" t="s">
        <v>33</v>
      </c>
      <c r="B25" s="4"/>
      <c r="C25" s="4"/>
      <c r="D25" s="4"/>
      <c r="E25" s="5"/>
    </row>
    <row r="26" ht="15.0" customHeight="1">
      <c r="B26" s="7" t="s">
        <v>34</v>
      </c>
    </row>
    <row r="27" ht="15.0" customHeight="1">
      <c r="B27" s="7" t="s">
        <v>35</v>
      </c>
    </row>
    <row r="28" ht="15.0" customHeight="1">
      <c r="B28" s="7" t="s">
        <v>36</v>
      </c>
    </row>
    <row r="29" ht="15.0" customHeight="1">
      <c r="B29" s="7" t="s">
        <v>37</v>
      </c>
    </row>
    <row r="30" ht="15.75" customHeight="1"/>
    <row r="31" ht="15.75" customHeight="1">
      <c r="A31" s="3" t="s">
        <v>38</v>
      </c>
      <c r="B31" s="4"/>
      <c r="C31" s="4"/>
      <c r="D31" s="4"/>
      <c r="E31" s="5"/>
    </row>
    <row r="32" ht="15.0" customHeight="1">
      <c r="A32" s="6" t="s">
        <v>39</v>
      </c>
      <c r="B32" s="7" t="s">
        <v>40</v>
      </c>
    </row>
    <row r="33" ht="15.0" customHeight="1">
      <c r="A33" s="6" t="s">
        <v>41</v>
      </c>
      <c r="B33" s="7" t="s">
        <v>42</v>
      </c>
    </row>
    <row r="34" ht="15.0" customHeight="1">
      <c r="A34" s="6" t="s">
        <v>43</v>
      </c>
      <c r="B34" s="7" t="s">
        <v>44</v>
      </c>
    </row>
    <row r="35" ht="15.0" customHeight="1">
      <c r="A35" s="6" t="s">
        <v>45</v>
      </c>
      <c r="B35" s="7" t="s">
        <v>46</v>
      </c>
    </row>
    <row r="36" ht="23.25" customHeight="1">
      <c r="A36" s="6" t="s">
        <v>47</v>
      </c>
      <c r="B36" s="7" t="s">
        <v>48</v>
      </c>
    </row>
    <row r="37" ht="15.0" customHeight="1">
      <c r="A37" s="6" t="s">
        <v>49</v>
      </c>
      <c r="B37" s="7" t="s">
        <v>50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E1"/>
    <mergeCell ref="A2:E2"/>
    <mergeCell ref="A4:E4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A20:E20"/>
    <mergeCell ref="B21:E21"/>
    <mergeCell ref="B22:E22"/>
    <mergeCell ref="B23:E23"/>
    <mergeCell ref="A25:E25"/>
    <mergeCell ref="B26:E26"/>
    <mergeCell ref="B35:E35"/>
    <mergeCell ref="B36:E36"/>
    <mergeCell ref="B37:E37"/>
    <mergeCell ref="B27:E27"/>
    <mergeCell ref="B28:E28"/>
    <mergeCell ref="B29:E29"/>
    <mergeCell ref="A31:E31"/>
    <mergeCell ref="B32:E32"/>
    <mergeCell ref="B33:E33"/>
    <mergeCell ref="B34:E3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0"/>
    <col customWidth="1" min="2" max="2" width="32.0"/>
    <col customWidth="1" min="3" max="3" width="14.0"/>
    <col customWidth="1" min="4" max="6" width="7.0"/>
    <col customWidth="1" min="7" max="7" width="11.0"/>
    <col customWidth="1" min="8" max="8" width="9.0"/>
    <col customWidth="1" min="9" max="9" width="11.0"/>
    <col customWidth="1" min="10" max="10" width="13.0"/>
    <col customWidth="1" min="11" max="12" width="12.0"/>
    <col customWidth="1" min="13" max="13" width="14.0"/>
    <col customWidth="1" min="14" max="14" width="12.0"/>
    <col customWidth="1" min="15" max="15" width="13.0"/>
    <col customWidth="1" min="16" max="26" width="8.71"/>
  </cols>
  <sheetData>
    <row r="1">
      <c r="A1" s="8" t="s">
        <v>51</v>
      </c>
    </row>
    <row r="2">
      <c r="A2" s="2" t="s">
        <v>52</v>
      </c>
    </row>
    <row r="4" ht="31.5" customHeight="1">
      <c r="A4" s="9" t="s">
        <v>53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  <c r="H4" s="9" t="s">
        <v>60</v>
      </c>
      <c r="I4" s="9" t="s">
        <v>61</v>
      </c>
      <c r="J4" s="9" t="s">
        <v>62</v>
      </c>
      <c r="K4" s="9" t="s">
        <v>63</v>
      </c>
      <c r="L4" s="9" t="s">
        <v>64</v>
      </c>
      <c r="M4" s="9" t="s">
        <v>65</v>
      </c>
      <c r="N4" s="9" t="s">
        <v>66</v>
      </c>
      <c r="O4" s="9" t="s">
        <v>67</v>
      </c>
    </row>
    <row r="5">
      <c r="A5" s="10">
        <v>1.0</v>
      </c>
      <c r="B5" s="11" t="s">
        <v>68</v>
      </c>
      <c r="C5" s="10" t="s">
        <v>69</v>
      </c>
      <c r="D5" s="10">
        <v>1.0</v>
      </c>
      <c r="E5" s="10">
        <v>2.0</v>
      </c>
      <c r="F5" s="10">
        <v>3.0</v>
      </c>
      <c r="G5" s="12">
        <f t="shared" ref="G5:G19" si="1">ROUNDUP((D5+4*E5+F5)/6,0)</f>
        <v>2</v>
      </c>
      <c r="H5" s="13">
        <f t="shared" ref="H5:H19" si="2">ROUND((F5-D5)/6,1)</f>
        <v>0.3</v>
      </c>
      <c r="I5" s="14">
        <f t="shared" ref="I5:I19" si="3">H5^2</f>
        <v>0.09</v>
      </c>
      <c r="J5" s="15">
        <v>3000.0</v>
      </c>
      <c r="K5" s="10">
        <v>0.0</v>
      </c>
      <c r="L5" s="10" t="s">
        <v>69</v>
      </c>
      <c r="M5" s="16">
        <v>0.0</v>
      </c>
      <c r="N5" s="17">
        <f t="shared" ref="N5:N19" si="4">G5-M5</f>
        <v>2</v>
      </c>
      <c r="O5" s="18">
        <v>0.0</v>
      </c>
    </row>
    <row r="6">
      <c r="A6" s="10">
        <v>2.0</v>
      </c>
      <c r="B6" s="11" t="s">
        <v>70</v>
      </c>
      <c r="C6" s="10" t="s">
        <v>71</v>
      </c>
      <c r="D6" s="10">
        <v>4.0</v>
      </c>
      <c r="E6" s="10">
        <v>6.0</v>
      </c>
      <c r="F6" s="10">
        <v>10.0</v>
      </c>
      <c r="G6" s="12">
        <f t="shared" si="1"/>
        <v>7</v>
      </c>
      <c r="H6" s="13">
        <f t="shared" si="2"/>
        <v>1</v>
      </c>
      <c r="I6" s="14">
        <f t="shared" si="3"/>
        <v>1</v>
      </c>
      <c r="J6" s="15">
        <v>8000.0</v>
      </c>
      <c r="K6" s="10">
        <v>2.0</v>
      </c>
      <c r="L6" s="15">
        <v>4000.0</v>
      </c>
      <c r="M6" s="19">
        <v>2.0</v>
      </c>
      <c r="N6" s="17">
        <f t="shared" si="4"/>
        <v>5</v>
      </c>
      <c r="O6" s="18">
        <f t="shared" ref="O6:O17" si="5">M6*L6</f>
        <v>8000</v>
      </c>
    </row>
    <row r="7">
      <c r="A7" s="10">
        <v>3.0</v>
      </c>
      <c r="B7" s="11" t="s">
        <v>72</v>
      </c>
      <c r="C7" s="10" t="s">
        <v>71</v>
      </c>
      <c r="D7" s="10">
        <v>3.0</v>
      </c>
      <c r="E7" s="10">
        <v>6.0</v>
      </c>
      <c r="F7" s="10">
        <v>12.0</v>
      </c>
      <c r="G7" s="12">
        <f t="shared" si="1"/>
        <v>7</v>
      </c>
      <c r="H7" s="13">
        <f t="shared" si="2"/>
        <v>1.5</v>
      </c>
      <c r="I7" s="14">
        <f t="shared" si="3"/>
        <v>2.25</v>
      </c>
      <c r="J7" s="15">
        <v>10000.0</v>
      </c>
      <c r="K7" s="10">
        <v>2.0</v>
      </c>
      <c r="L7" s="15">
        <v>5000.0</v>
      </c>
      <c r="M7" s="19">
        <v>2.0</v>
      </c>
      <c r="N7" s="17">
        <f t="shared" si="4"/>
        <v>5</v>
      </c>
      <c r="O7" s="18">
        <f t="shared" si="5"/>
        <v>10000</v>
      </c>
    </row>
    <row r="8">
      <c r="A8" s="10">
        <v>4.0</v>
      </c>
      <c r="B8" s="11" t="s">
        <v>73</v>
      </c>
      <c r="C8" s="10" t="s">
        <v>71</v>
      </c>
      <c r="D8" s="10">
        <v>5.0</v>
      </c>
      <c r="E8" s="10">
        <v>8.0</v>
      </c>
      <c r="F8" s="10">
        <v>14.0</v>
      </c>
      <c r="G8" s="12">
        <f t="shared" si="1"/>
        <v>9</v>
      </c>
      <c r="H8" s="13">
        <f t="shared" si="2"/>
        <v>1.5</v>
      </c>
      <c r="I8" s="14">
        <f t="shared" si="3"/>
        <v>2.25</v>
      </c>
      <c r="J8" s="15">
        <v>18000.0</v>
      </c>
      <c r="K8" s="10">
        <v>3.0</v>
      </c>
      <c r="L8" s="15">
        <v>6000.0</v>
      </c>
      <c r="M8" s="19">
        <v>3.0</v>
      </c>
      <c r="N8" s="17">
        <f t="shared" si="4"/>
        <v>6</v>
      </c>
      <c r="O8" s="18">
        <f t="shared" si="5"/>
        <v>18000</v>
      </c>
    </row>
    <row r="9">
      <c r="A9" s="10">
        <v>5.0</v>
      </c>
      <c r="B9" s="11" t="s">
        <v>74</v>
      </c>
      <c r="C9" s="10" t="s">
        <v>75</v>
      </c>
      <c r="D9" s="10">
        <v>6.0</v>
      </c>
      <c r="E9" s="10">
        <v>10.0</v>
      </c>
      <c r="F9" s="10">
        <v>16.0</v>
      </c>
      <c r="G9" s="12">
        <f t="shared" si="1"/>
        <v>11</v>
      </c>
      <c r="H9" s="13">
        <f t="shared" si="2"/>
        <v>1.7</v>
      </c>
      <c r="I9" s="14">
        <f t="shared" si="3"/>
        <v>2.89</v>
      </c>
      <c r="J9" s="15">
        <v>22000.0</v>
      </c>
      <c r="K9" s="10">
        <v>3.0</v>
      </c>
      <c r="L9" s="15">
        <v>7000.0</v>
      </c>
      <c r="M9" s="19">
        <v>3.0</v>
      </c>
      <c r="N9" s="17">
        <f t="shared" si="4"/>
        <v>8</v>
      </c>
      <c r="O9" s="18">
        <f t="shared" si="5"/>
        <v>21000</v>
      </c>
    </row>
    <row r="10">
      <c r="A10" s="10">
        <v>6.0</v>
      </c>
      <c r="B10" s="11" t="s">
        <v>76</v>
      </c>
      <c r="C10" s="10" t="s">
        <v>77</v>
      </c>
      <c r="D10" s="10">
        <v>3.0</v>
      </c>
      <c r="E10" s="10">
        <v>5.0</v>
      </c>
      <c r="F10" s="10">
        <v>9.0</v>
      </c>
      <c r="G10" s="12">
        <f t="shared" si="1"/>
        <v>6</v>
      </c>
      <c r="H10" s="13">
        <f t="shared" si="2"/>
        <v>1</v>
      </c>
      <c r="I10" s="14">
        <f t="shared" si="3"/>
        <v>1</v>
      </c>
      <c r="J10" s="15">
        <v>6000.0</v>
      </c>
      <c r="K10" s="10">
        <v>1.0</v>
      </c>
      <c r="L10" s="15">
        <v>3000.0</v>
      </c>
      <c r="M10" s="19">
        <v>1.0</v>
      </c>
      <c r="N10" s="17">
        <f t="shared" si="4"/>
        <v>5</v>
      </c>
      <c r="O10" s="18">
        <f t="shared" si="5"/>
        <v>3000</v>
      </c>
    </row>
    <row r="11">
      <c r="A11" s="10">
        <v>7.0</v>
      </c>
      <c r="B11" s="11" t="s">
        <v>78</v>
      </c>
      <c r="C11" s="10" t="s">
        <v>79</v>
      </c>
      <c r="D11" s="10">
        <v>5.0</v>
      </c>
      <c r="E11" s="10">
        <v>9.0</v>
      </c>
      <c r="F11" s="10">
        <v>18.0</v>
      </c>
      <c r="G11" s="12">
        <f t="shared" si="1"/>
        <v>10</v>
      </c>
      <c r="H11" s="13">
        <f t="shared" si="2"/>
        <v>2.2</v>
      </c>
      <c r="I11" s="14">
        <f t="shared" si="3"/>
        <v>4.84</v>
      </c>
      <c r="J11" s="15">
        <v>12000.0</v>
      </c>
      <c r="K11" s="10">
        <v>3.0</v>
      </c>
      <c r="L11" s="15">
        <v>4000.0</v>
      </c>
      <c r="M11" s="19">
        <v>3.0</v>
      </c>
      <c r="N11" s="17">
        <f t="shared" si="4"/>
        <v>7</v>
      </c>
      <c r="O11" s="18">
        <f t="shared" si="5"/>
        <v>12000</v>
      </c>
    </row>
    <row r="12">
      <c r="A12" s="10">
        <v>8.0</v>
      </c>
      <c r="B12" s="11" t="s">
        <v>80</v>
      </c>
      <c r="C12" s="10" t="s">
        <v>81</v>
      </c>
      <c r="D12" s="10">
        <v>4.0</v>
      </c>
      <c r="E12" s="10">
        <v>7.0</v>
      </c>
      <c r="F12" s="10">
        <v>13.0</v>
      </c>
      <c r="G12" s="12">
        <f t="shared" si="1"/>
        <v>8</v>
      </c>
      <c r="H12" s="13">
        <f t="shared" si="2"/>
        <v>1.5</v>
      </c>
      <c r="I12" s="14">
        <f t="shared" si="3"/>
        <v>2.25</v>
      </c>
      <c r="J12" s="15">
        <v>14000.0</v>
      </c>
      <c r="K12" s="10">
        <v>2.0</v>
      </c>
      <c r="L12" s="15">
        <v>6000.0</v>
      </c>
      <c r="M12" s="19">
        <v>2.0</v>
      </c>
      <c r="N12" s="17">
        <f t="shared" si="4"/>
        <v>6</v>
      </c>
      <c r="O12" s="18">
        <f t="shared" si="5"/>
        <v>12000</v>
      </c>
    </row>
    <row r="13">
      <c r="A13" s="10">
        <v>9.0</v>
      </c>
      <c r="B13" s="11" t="s">
        <v>82</v>
      </c>
      <c r="C13" s="10" t="s">
        <v>83</v>
      </c>
      <c r="D13" s="10">
        <v>4.0</v>
      </c>
      <c r="E13" s="10">
        <v>7.0</v>
      </c>
      <c r="F13" s="10">
        <v>11.0</v>
      </c>
      <c r="G13" s="12">
        <f t="shared" si="1"/>
        <v>8</v>
      </c>
      <c r="H13" s="13">
        <f t="shared" si="2"/>
        <v>1.2</v>
      </c>
      <c r="I13" s="14">
        <f t="shared" si="3"/>
        <v>1.44</v>
      </c>
      <c r="J13" s="15">
        <v>9000.0</v>
      </c>
      <c r="K13" s="10">
        <v>1.0</v>
      </c>
      <c r="L13" s="15">
        <v>4000.0</v>
      </c>
      <c r="M13" s="19">
        <v>1.0</v>
      </c>
      <c r="N13" s="17">
        <f t="shared" si="4"/>
        <v>7</v>
      </c>
      <c r="O13" s="18">
        <f t="shared" si="5"/>
        <v>4000</v>
      </c>
    </row>
    <row r="14">
      <c r="A14" s="10">
        <v>10.0</v>
      </c>
      <c r="B14" s="11" t="s">
        <v>84</v>
      </c>
      <c r="C14" s="10" t="s">
        <v>85</v>
      </c>
      <c r="D14" s="10">
        <v>7.0</v>
      </c>
      <c r="E14" s="10">
        <v>12.0</v>
      </c>
      <c r="F14" s="10">
        <v>20.0</v>
      </c>
      <c r="G14" s="12">
        <f t="shared" si="1"/>
        <v>13</v>
      </c>
      <c r="H14" s="13">
        <f t="shared" si="2"/>
        <v>2.2</v>
      </c>
      <c r="I14" s="14">
        <f t="shared" si="3"/>
        <v>4.84</v>
      </c>
      <c r="J14" s="15">
        <v>15000.0</v>
      </c>
      <c r="K14" s="10">
        <v>3.0</v>
      </c>
      <c r="L14" s="15">
        <v>5000.0</v>
      </c>
      <c r="M14" s="19">
        <v>3.0</v>
      </c>
      <c r="N14" s="17">
        <f t="shared" si="4"/>
        <v>10</v>
      </c>
      <c r="O14" s="18">
        <f t="shared" si="5"/>
        <v>15000</v>
      </c>
    </row>
    <row r="15">
      <c r="A15" s="10">
        <v>11.0</v>
      </c>
      <c r="B15" s="11" t="s">
        <v>86</v>
      </c>
      <c r="C15" s="10" t="s">
        <v>75</v>
      </c>
      <c r="D15" s="10">
        <v>6.0</v>
      </c>
      <c r="E15" s="10">
        <v>9.0</v>
      </c>
      <c r="F15" s="10">
        <v>14.0</v>
      </c>
      <c r="G15" s="12">
        <f t="shared" si="1"/>
        <v>10</v>
      </c>
      <c r="H15" s="13">
        <f t="shared" si="2"/>
        <v>1.3</v>
      </c>
      <c r="I15" s="14">
        <f t="shared" si="3"/>
        <v>1.69</v>
      </c>
      <c r="J15" s="15">
        <v>11000.0</v>
      </c>
      <c r="K15" s="10">
        <v>2.0</v>
      </c>
      <c r="L15" s="15">
        <v>4000.0</v>
      </c>
      <c r="M15" s="19">
        <v>2.0</v>
      </c>
      <c r="N15" s="17">
        <f t="shared" si="4"/>
        <v>8</v>
      </c>
      <c r="O15" s="18">
        <f t="shared" si="5"/>
        <v>8000</v>
      </c>
    </row>
    <row r="16">
      <c r="A16" s="10">
        <v>12.0</v>
      </c>
      <c r="B16" s="11" t="s">
        <v>87</v>
      </c>
      <c r="C16" s="10" t="s">
        <v>88</v>
      </c>
      <c r="D16" s="10">
        <v>4.0</v>
      </c>
      <c r="E16" s="10">
        <v>7.0</v>
      </c>
      <c r="F16" s="10">
        <v>13.0</v>
      </c>
      <c r="G16" s="12">
        <f t="shared" si="1"/>
        <v>8</v>
      </c>
      <c r="H16" s="13">
        <f t="shared" si="2"/>
        <v>1.5</v>
      </c>
      <c r="I16" s="14">
        <f t="shared" si="3"/>
        <v>2.25</v>
      </c>
      <c r="J16" s="15">
        <v>8000.0</v>
      </c>
      <c r="K16" s="10">
        <v>2.0</v>
      </c>
      <c r="L16" s="15">
        <v>3500.0</v>
      </c>
      <c r="M16" s="19">
        <v>2.0</v>
      </c>
      <c r="N16" s="17">
        <f t="shared" si="4"/>
        <v>6</v>
      </c>
      <c r="O16" s="18">
        <f t="shared" si="5"/>
        <v>7000</v>
      </c>
    </row>
    <row r="17">
      <c r="A17" s="10">
        <v>13.0</v>
      </c>
      <c r="B17" s="11" t="s">
        <v>89</v>
      </c>
      <c r="C17" s="10" t="s">
        <v>90</v>
      </c>
      <c r="D17" s="10">
        <v>5.0</v>
      </c>
      <c r="E17" s="10">
        <v>9.0</v>
      </c>
      <c r="F17" s="10">
        <v>15.0</v>
      </c>
      <c r="G17" s="12">
        <f t="shared" si="1"/>
        <v>10</v>
      </c>
      <c r="H17" s="13">
        <f t="shared" si="2"/>
        <v>1.7</v>
      </c>
      <c r="I17" s="14">
        <f t="shared" si="3"/>
        <v>2.89</v>
      </c>
      <c r="J17" s="15">
        <v>20000.0</v>
      </c>
      <c r="K17" s="10">
        <v>3.0</v>
      </c>
      <c r="L17" s="15">
        <v>6000.0</v>
      </c>
      <c r="M17" s="19">
        <v>3.0</v>
      </c>
      <c r="N17" s="17">
        <f t="shared" si="4"/>
        <v>7</v>
      </c>
      <c r="O17" s="18">
        <f t="shared" si="5"/>
        <v>18000</v>
      </c>
    </row>
    <row r="18">
      <c r="A18" s="10">
        <v>14.0</v>
      </c>
      <c r="B18" s="11" t="s">
        <v>91</v>
      </c>
      <c r="C18" s="10" t="s">
        <v>92</v>
      </c>
      <c r="D18" s="10">
        <v>1.0</v>
      </c>
      <c r="E18" s="10">
        <v>1.0</v>
      </c>
      <c r="F18" s="10">
        <v>1.0</v>
      </c>
      <c r="G18" s="12">
        <f t="shared" si="1"/>
        <v>1</v>
      </c>
      <c r="H18" s="13">
        <f t="shared" si="2"/>
        <v>0</v>
      </c>
      <c r="I18" s="14">
        <f t="shared" si="3"/>
        <v>0</v>
      </c>
      <c r="J18" s="15">
        <v>30000.0</v>
      </c>
      <c r="K18" s="10">
        <v>0.0</v>
      </c>
      <c r="L18" s="10" t="s">
        <v>69</v>
      </c>
      <c r="M18" s="16">
        <v>0.0</v>
      </c>
      <c r="N18" s="17">
        <f t="shared" si="4"/>
        <v>1</v>
      </c>
      <c r="O18" s="18">
        <v>0.0</v>
      </c>
    </row>
    <row r="19">
      <c r="A19" s="10">
        <v>15.0</v>
      </c>
      <c r="B19" s="11" t="s">
        <v>93</v>
      </c>
      <c r="C19" s="10" t="s">
        <v>94</v>
      </c>
      <c r="D19" s="10">
        <v>3.0</v>
      </c>
      <c r="E19" s="10">
        <v>5.0</v>
      </c>
      <c r="F19" s="10">
        <v>8.0</v>
      </c>
      <c r="G19" s="12">
        <f t="shared" si="1"/>
        <v>6</v>
      </c>
      <c r="H19" s="13">
        <f t="shared" si="2"/>
        <v>0.8</v>
      </c>
      <c r="I19" s="14">
        <f t="shared" si="3"/>
        <v>0.64</v>
      </c>
      <c r="J19" s="15">
        <v>6000.0</v>
      </c>
      <c r="K19" s="10">
        <v>1.0</v>
      </c>
      <c r="L19" s="15">
        <v>2000.0</v>
      </c>
      <c r="M19" s="19">
        <v>1.0</v>
      </c>
      <c r="N19" s="17">
        <f t="shared" si="4"/>
        <v>5</v>
      </c>
      <c r="O19" s="18">
        <f>M19*L19</f>
        <v>2000</v>
      </c>
    </row>
    <row r="21" ht="15.75" customHeight="1">
      <c r="B21" s="20" t="s">
        <v>95</v>
      </c>
      <c r="I21" s="21" t="s">
        <v>96</v>
      </c>
      <c r="J21" s="22">
        <f>SUM(J5:J19)</f>
        <v>192000</v>
      </c>
      <c r="N21" s="21" t="s">
        <v>97</v>
      </c>
      <c r="O21" s="22">
        <f>SUM(O5:O19)</f>
        <v>138000</v>
      </c>
    </row>
    <row r="22" ht="15.75" customHeight="1">
      <c r="I22" s="21" t="s">
        <v>98</v>
      </c>
      <c r="J22" s="22">
        <f>J21+O21</f>
        <v>330000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17" width="5.0"/>
    <col customWidth="1" min="18" max="18" width="15.0"/>
    <col customWidth="1" min="19" max="19" width="11.0"/>
    <col customWidth="1" min="20" max="20" width="10.0"/>
    <col customWidth="1" min="21" max="21" width="11.0"/>
    <col customWidth="1" min="22" max="26" width="8.71"/>
  </cols>
  <sheetData>
    <row r="1">
      <c r="A1" s="8" t="s">
        <v>99</v>
      </c>
    </row>
    <row r="2">
      <c r="A2" s="2" t="s">
        <v>100</v>
      </c>
    </row>
    <row r="4">
      <c r="A4" s="9" t="s">
        <v>101</v>
      </c>
      <c r="B4" s="9" t="s">
        <v>102</v>
      </c>
      <c r="C4" s="23" t="s">
        <v>103</v>
      </c>
      <c r="D4" s="23" t="s">
        <v>104</v>
      </c>
      <c r="E4" s="23" t="s">
        <v>105</v>
      </c>
      <c r="F4" s="23" t="s">
        <v>106</v>
      </c>
      <c r="G4" s="23" t="s">
        <v>107</v>
      </c>
      <c r="H4" s="23" t="s">
        <v>108</v>
      </c>
      <c r="I4" s="23" t="s">
        <v>109</v>
      </c>
      <c r="J4" s="23" t="s">
        <v>110</v>
      </c>
      <c r="K4" s="23" t="s">
        <v>111</v>
      </c>
      <c r="L4" s="23" t="s">
        <v>112</v>
      </c>
      <c r="M4" s="23" t="s">
        <v>113</v>
      </c>
      <c r="N4" s="23" t="s">
        <v>114</v>
      </c>
      <c r="O4" s="23" t="s">
        <v>115</v>
      </c>
      <c r="P4" s="23" t="s">
        <v>116</v>
      </c>
      <c r="Q4" s="23" t="s">
        <v>117</v>
      </c>
      <c r="R4" s="9" t="s">
        <v>118</v>
      </c>
      <c r="S4" s="9" t="s">
        <v>119</v>
      </c>
      <c r="T4" s="9" t="s">
        <v>120</v>
      </c>
      <c r="U4" s="9" t="s">
        <v>121</v>
      </c>
    </row>
    <row r="5">
      <c r="A5" s="17" t="s">
        <v>122</v>
      </c>
      <c r="B5" s="24" t="s">
        <v>123</v>
      </c>
      <c r="C5" s="25">
        <v>1.0</v>
      </c>
      <c r="D5" s="25">
        <v>1.0</v>
      </c>
      <c r="E5" s="26">
        <v>0.0</v>
      </c>
      <c r="F5" s="26">
        <v>0.0</v>
      </c>
      <c r="G5" s="26">
        <v>0.0</v>
      </c>
      <c r="H5" s="25">
        <v>1.0</v>
      </c>
      <c r="I5" s="25">
        <v>1.0</v>
      </c>
      <c r="J5" s="26">
        <v>0.0</v>
      </c>
      <c r="K5" s="26">
        <v>0.0</v>
      </c>
      <c r="L5" s="26">
        <v>0.0</v>
      </c>
      <c r="M5" s="26">
        <v>0.0</v>
      </c>
      <c r="N5" s="26">
        <v>0.0</v>
      </c>
      <c r="O5" s="25">
        <v>1.0</v>
      </c>
      <c r="P5" s="25">
        <v>1.0</v>
      </c>
      <c r="Q5" s="25">
        <v>1.0</v>
      </c>
      <c r="R5" s="17">
        <f>C5*Inputs!N5+D5*Inputs!N6+E5*Inputs!N7+F5*Inputs!N8+G5*Inputs!N9+H5*Inputs!N10+I5*Inputs!N11+J5*Inputs!N12+K5*Inputs!N13+L5*Inputs!N14+M5*Inputs!N15+N5*Inputs!N16+O5*Inputs!N17+P5*Inputs!N18+Q5*Inputs!N19</f>
        <v>32</v>
      </c>
      <c r="S5" s="14">
        <f>C5*Inputs!I5+D5*Inputs!I6+E5*Inputs!I7+F5*Inputs!I8+G5*Inputs!I9+H5*Inputs!I10+I5*Inputs!I11+J5*Inputs!I12+K5*Inputs!I13+L5*Inputs!I14+M5*Inputs!I15+N5*Inputs!I16+O5*Inputs!I17+P5*Inputs!I18+Q5*Inputs!I19</f>
        <v>10.46</v>
      </c>
      <c r="T5" s="27">
        <f t="shared" ref="T5:T9" si="1">SQRT(S5)</f>
        <v>3.234192326</v>
      </c>
      <c r="U5" s="17" t="str">
        <f t="shared" ref="U5:U9" si="2">IF(R5=MAX($R$5:$R$9),"CRITICAL","")</f>
        <v/>
      </c>
    </row>
    <row r="6">
      <c r="A6" s="17" t="s">
        <v>124</v>
      </c>
      <c r="B6" s="24" t="s">
        <v>125</v>
      </c>
      <c r="C6" s="25">
        <v>1.0</v>
      </c>
      <c r="D6" s="25">
        <v>1.0</v>
      </c>
      <c r="E6" s="26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5">
        <v>1.0</v>
      </c>
      <c r="L6" s="25">
        <v>1.0</v>
      </c>
      <c r="M6" s="26">
        <v>0.0</v>
      </c>
      <c r="N6" s="26">
        <v>0.0</v>
      </c>
      <c r="O6" s="26">
        <v>0.0</v>
      </c>
      <c r="P6" s="25">
        <v>1.0</v>
      </c>
      <c r="Q6" s="25">
        <v>1.0</v>
      </c>
      <c r="R6" s="17">
        <f>C6*Inputs!N5+D6*Inputs!N6+E6*Inputs!N7+F6*Inputs!N8+G6*Inputs!N9+H6*Inputs!N10+I6*Inputs!N11+J6*Inputs!N12+K6*Inputs!N13+L6*Inputs!N14+M6*Inputs!N15+N6*Inputs!N16+O6*Inputs!N17+P6*Inputs!N18+Q6*Inputs!N19</f>
        <v>30</v>
      </c>
      <c r="S6" s="14">
        <f>C6*Inputs!I5+D6*Inputs!I6+E6*Inputs!I7+F6*Inputs!I8+G6*Inputs!I9+H6*Inputs!I10+I6*Inputs!I11+J6*Inputs!I12+K6*Inputs!I13+L6*Inputs!I14+M6*Inputs!I15+N6*Inputs!I16+O6*Inputs!I17+P6*Inputs!I18+Q6*Inputs!I19</f>
        <v>8.01</v>
      </c>
      <c r="T6" s="27">
        <f t="shared" si="1"/>
        <v>2.83019434</v>
      </c>
      <c r="U6" s="17" t="str">
        <f t="shared" si="2"/>
        <v/>
      </c>
    </row>
    <row r="7">
      <c r="A7" s="17" t="s">
        <v>126</v>
      </c>
      <c r="B7" s="24" t="s">
        <v>127</v>
      </c>
      <c r="C7" s="25">
        <v>1.0</v>
      </c>
      <c r="D7" s="26">
        <v>0.0</v>
      </c>
      <c r="E7" s="25">
        <v>1.0</v>
      </c>
      <c r="F7" s="26">
        <v>0.0</v>
      </c>
      <c r="G7" s="26">
        <v>0.0</v>
      </c>
      <c r="H7" s="26">
        <v>0.0</v>
      </c>
      <c r="I7" s="26">
        <v>0.0</v>
      </c>
      <c r="J7" s="25">
        <v>1.0</v>
      </c>
      <c r="K7" s="25">
        <v>1.0</v>
      </c>
      <c r="L7" s="25">
        <v>1.0</v>
      </c>
      <c r="M7" s="26">
        <v>0.0</v>
      </c>
      <c r="N7" s="26">
        <v>0.0</v>
      </c>
      <c r="O7" s="26">
        <v>0.0</v>
      </c>
      <c r="P7" s="25">
        <v>1.0</v>
      </c>
      <c r="Q7" s="25">
        <v>1.0</v>
      </c>
      <c r="R7" s="17">
        <f>C7*Inputs!N5+D7*Inputs!N6+E7*Inputs!N7+F7*Inputs!N8+G7*Inputs!N9+H7*Inputs!N10+I7*Inputs!N11+J7*Inputs!N12+K7*Inputs!N13+L7*Inputs!N14+M7*Inputs!N15+N7*Inputs!N16+O7*Inputs!N17+P7*Inputs!N18+Q7*Inputs!N19</f>
        <v>36</v>
      </c>
      <c r="S7" s="14">
        <f>C7*Inputs!I5+D7*Inputs!I6+E7*Inputs!I7+F7*Inputs!I8+G7*Inputs!I9+H7*Inputs!I10+I7*Inputs!I11+J7*Inputs!I12+K7*Inputs!I13+L7*Inputs!I14+M7*Inputs!I15+N7*Inputs!I16+O7*Inputs!I17+P7*Inputs!I18+Q7*Inputs!I19</f>
        <v>11.51</v>
      </c>
      <c r="T7" s="27">
        <f t="shared" si="1"/>
        <v>3.392639091</v>
      </c>
      <c r="U7" s="17" t="str">
        <f t="shared" si="2"/>
        <v>CRITICAL</v>
      </c>
    </row>
    <row r="8">
      <c r="A8" s="17" t="s">
        <v>128</v>
      </c>
      <c r="B8" s="24" t="s">
        <v>129</v>
      </c>
      <c r="C8" s="25">
        <v>1.0</v>
      </c>
      <c r="D8" s="26">
        <v>0.0</v>
      </c>
      <c r="E8" s="26">
        <v>0.0</v>
      </c>
      <c r="F8" s="25">
        <v>1.0</v>
      </c>
      <c r="G8" s="25">
        <v>1.0</v>
      </c>
      <c r="H8" s="26">
        <v>0.0</v>
      </c>
      <c r="I8" s="26">
        <v>0.0</v>
      </c>
      <c r="J8" s="26">
        <v>0.0</v>
      </c>
      <c r="K8" s="26">
        <v>0.0</v>
      </c>
      <c r="L8" s="26">
        <v>0.0</v>
      </c>
      <c r="M8" s="26">
        <v>0.0</v>
      </c>
      <c r="N8" s="26">
        <v>0.0</v>
      </c>
      <c r="O8" s="25">
        <v>1.0</v>
      </c>
      <c r="P8" s="25">
        <v>1.0</v>
      </c>
      <c r="Q8" s="25">
        <v>1.0</v>
      </c>
      <c r="R8" s="17">
        <f>C8*Inputs!N5+D8*Inputs!N6+E8*Inputs!N7+F8*Inputs!N8+G8*Inputs!N9+H8*Inputs!N10+I8*Inputs!N11+J8*Inputs!N12+K8*Inputs!N13+L8*Inputs!N14+M8*Inputs!N15+N8*Inputs!N16+O8*Inputs!N17+P8*Inputs!N18+Q8*Inputs!N19</f>
        <v>29</v>
      </c>
      <c r="S8" s="14">
        <f>C8*Inputs!I5+D8*Inputs!I6+E8*Inputs!I7+F8*Inputs!I8+G8*Inputs!I9+H8*Inputs!I10+I8*Inputs!I11+J8*Inputs!I12+K8*Inputs!I13+L8*Inputs!I14+M8*Inputs!I15+N8*Inputs!I16+O8*Inputs!I17+P8*Inputs!I18+Q8*Inputs!I19</f>
        <v>8.76</v>
      </c>
      <c r="T8" s="27">
        <f t="shared" si="1"/>
        <v>2.959729717</v>
      </c>
      <c r="U8" s="17" t="str">
        <f t="shared" si="2"/>
        <v/>
      </c>
    </row>
    <row r="9">
      <c r="A9" s="17" t="s">
        <v>130</v>
      </c>
      <c r="B9" s="24" t="s">
        <v>131</v>
      </c>
      <c r="C9" s="25">
        <v>1.0</v>
      </c>
      <c r="D9" s="26">
        <v>0.0</v>
      </c>
      <c r="E9" s="26">
        <v>0.0</v>
      </c>
      <c r="F9" s="25">
        <v>1.0</v>
      </c>
      <c r="G9" s="26">
        <v>0.0</v>
      </c>
      <c r="H9" s="26">
        <v>0.0</v>
      </c>
      <c r="I9" s="26">
        <v>0.0</v>
      </c>
      <c r="J9" s="26">
        <v>0.0</v>
      </c>
      <c r="K9" s="26">
        <v>0.0</v>
      </c>
      <c r="L9" s="26">
        <v>0.0</v>
      </c>
      <c r="M9" s="25">
        <v>1.0</v>
      </c>
      <c r="N9" s="25">
        <v>1.0</v>
      </c>
      <c r="O9" s="25">
        <v>1.0</v>
      </c>
      <c r="P9" s="25">
        <v>1.0</v>
      </c>
      <c r="Q9" s="25">
        <v>1.0</v>
      </c>
      <c r="R9" s="17">
        <f>C9*Inputs!N5+D9*Inputs!N6+E9*Inputs!N7+F9*Inputs!N8+G9*Inputs!N9+H9*Inputs!N10+I9*Inputs!N11+J9*Inputs!N12+K9*Inputs!N13+L9*Inputs!N14+M9*Inputs!N15+N9*Inputs!N16+O9*Inputs!N17+P9*Inputs!N18+Q9*Inputs!N19</f>
        <v>35</v>
      </c>
      <c r="S9" s="14">
        <f>C9*Inputs!I5+D9*Inputs!I6+E9*Inputs!I7+F9*Inputs!I8+G9*Inputs!I9+H9*Inputs!I10+I9*Inputs!I11+J9*Inputs!I12+K9*Inputs!I13+L9*Inputs!I14+M9*Inputs!I15+N9*Inputs!I16+O9*Inputs!I17+P9*Inputs!I18+Q9*Inputs!I19</f>
        <v>9.81</v>
      </c>
      <c r="T9" s="27">
        <f t="shared" si="1"/>
        <v>3.132091953</v>
      </c>
      <c r="U9" s="17" t="str">
        <f t="shared" si="2"/>
        <v/>
      </c>
    </row>
    <row r="11">
      <c r="A11" s="6" t="s">
        <v>132</v>
      </c>
      <c r="D11" s="28">
        <f>MAX(R5:R9)</f>
        <v>36</v>
      </c>
    </row>
    <row r="12">
      <c r="A12" s="6" t="s">
        <v>133</v>
      </c>
      <c r="D12" s="29">
        <f t="array" ref="D12">INDEX(S5:S9,MATCH(MAX(R5:R9),R5:R9,0))</f>
        <v>11.51</v>
      </c>
    </row>
    <row r="13">
      <c r="A13" s="6" t="s">
        <v>134</v>
      </c>
      <c r="D13" s="30">
        <f>SQRT(D12)</f>
        <v>3.392639091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V1"/>
    <mergeCell ref="A2:V2"/>
    <mergeCell ref="A11:C11"/>
    <mergeCell ref="A12:C12"/>
    <mergeCell ref="A13:C1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55.0"/>
    <col customWidth="1" min="4" max="26" width="8.71"/>
  </cols>
  <sheetData>
    <row r="1">
      <c r="A1" s="8" t="s">
        <v>135</v>
      </c>
    </row>
    <row r="2">
      <c r="A2" s="2" t="s">
        <v>136</v>
      </c>
    </row>
    <row r="4" ht="15.0" customHeight="1">
      <c r="A4" s="31" t="s">
        <v>137</v>
      </c>
      <c r="B4" s="4"/>
      <c r="C4" s="5"/>
    </row>
    <row r="5">
      <c r="A5" s="32" t="s">
        <v>138</v>
      </c>
      <c r="B5" s="16">
        <v>45.0</v>
      </c>
      <c r="C5" s="2" t="s">
        <v>139</v>
      </c>
    </row>
    <row r="6">
      <c r="A6" s="32" t="s">
        <v>140</v>
      </c>
      <c r="B6" s="16">
        <v>46.0</v>
      </c>
      <c r="C6" s="2" t="s">
        <v>141</v>
      </c>
    </row>
    <row r="7">
      <c r="A7" s="32" t="s">
        <v>142</v>
      </c>
      <c r="B7" s="33">
        <v>4200.0</v>
      </c>
    </row>
    <row r="8">
      <c r="A8" s="32" t="s">
        <v>143</v>
      </c>
      <c r="B8" s="33">
        <v>90000.0</v>
      </c>
    </row>
    <row r="10" ht="15.0" customHeight="1">
      <c r="A10" s="31" t="s">
        <v>144</v>
      </c>
      <c r="B10" s="4"/>
      <c r="C10" s="5"/>
    </row>
    <row r="11">
      <c r="A11" s="6" t="s">
        <v>145</v>
      </c>
      <c r="B11" s="34">
        <f>'Network Paths'!D11</f>
        <v>36</v>
      </c>
    </row>
    <row r="12">
      <c r="A12" s="6" t="s">
        <v>146</v>
      </c>
      <c r="B12" s="35">
        <f>'Network Paths'!D12</f>
        <v>11.51</v>
      </c>
    </row>
    <row r="13">
      <c r="A13" s="6" t="s">
        <v>147</v>
      </c>
      <c r="B13" s="36">
        <f>'Network Paths'!D13</f>
        <v>3.392639091</v>
      </c>
    </row>
    <row r="15" ht="15.0" customHeight="1">
      <c r="A15" s="31" t="s">
        <v>148</v>
      </c>
      <c r="B15" s="4"/>
      <c r="C15" s="5"/>
    </row>
    <row r="16">
      <c r="A16" s="6" t="s">
        <v>149</v>
      </c>
      <c r="B16" s="37">
        <f>(B5-B11)/B13</f>
        <v>2.652802069</v>
      </c>
    </row>
    <row r="17">
      <c r="A17" s="6" t="s">
        <v>150</v>
      </c>
      <c r="B17" s="38">
        <f>NORMDIST(B16,0,1,TRUE())</f>
        <v>0.9960086667</v>
      </c>
    </row>
    <row r="18">
      <c r="C18" s="2" t="s">
        <v>151</v>
      </c>
    </row>
    <row r="20" ht="15.0" customHeight="1">
      <c r="A20" s="31" t="s">
        <v>152</v>
      </c>
      <c r="B20" s="4"/>
      <c r="C20" s="5"/>
    </row>
    <row r="21" ht="15.75" customHeight="1">
      <c r="A21" s="6" t="s">
        <v>153</v>
      </c>
      <c r="B21" s="39">
        <f>Inputs!J21</f>
        <v>192000</v>
      </c>
    </row>
    <row r="22" ht="15.75" customHeight="1">
      <c r="A22" s="6" t="s">
        <v>154</v>
      </c>
      <c r="B22" s="39">
        <f>Inputs!O21</f>
        <v>138000</v>
      </c>
    </row>
    <row r="23" ht="15.75" customHeight="1">
      <c r="A23" s="6" t="s">
        <v>155</v>
      </c>
      <c r="B23" s="40">
        <f>B21+B22</f>
        <v>330000</v>
      </c>
    </row>
    <row r="24" ht="15.75" customHeight="1">
      <c r="A24" s="6" t="s">
        <v>156</v>
      </c>
      <c r="B24" s="12">
        <f>B6-B11</f>
        <v>10</v>
      </c>
    </row>
    <row r="25" ht="15.75" customHeight="1">
      <c r="A25" s="6" t="s">
        <v>157</v>
      </c>
      <c r="B25" s="18">
        <f>B24*B7</f>
        <v>42000</v>
      </c>
    </row>
    <row r="26" ht="15.75" customHeight="1">
      <c r="A26" s="6" t="s">
        <v>158</v>
      </c>
      <c r="B26" s="40">
        <f>B8-B25</f>
        <v>48000</v>
      </c>
    </row>
    <row r="27" ht="15.75" customHeight="1">
      <c r="A27" s="41" t="s">
        <v>159</v>
      </c>
      <c r="B27" s="42">
        <f>B23+B26</f>
        <v>378000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4:C4"/>
    <mergeCell ref="A10:C10"/>
    <mergeCell ref="A15:C15"/>
    <mergeCell ref="A20:C2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2.0"/>
    <col customWidth="1" min="3" max="3" width="14.0"/>
    <col customWidth="1" min="4" max="4" width="12.0"/>
    <col customWidth="1" min="5" max="5" width="14.0"/>
    <col customWidth="1" min="6" max="6" width="18.0"/>
    <col customWidth="1" min="7" max="7" width="16.0"/>
    <col customWidth="1" min="8" max="8" width="14.0"/>
    <col customWidth="1" min="9" max="26" width="8.71"/>
  </cols>
  <sheetData>
    <row r="1">
      <c r="A1" s="8" t="s">
        <v>160</v>
      </c>
    </row>
    <row r="2">
      <c r="A2" s="2" t="s">
        <v>161</v>
      </c>
    </row>
    <row r="4">
      <c r="A4" s="6" t="s">
        <v>162</v>
      </c>
    </row>
    <row r="5">
      <c r="A5" s="43" t="s">
        <v>163</v>
      </c>
    </row>
    <row r="6">
      <c r="A6" s="43" t="s">
        <v>164</v>
      </c>
    </row>
    <row r="7">
      <c r="A7" s="43" t="s">
        <v>165</v>
      </c>
    </row>
    <row r="8">
      <c r="A8" s="43" t="s">
        <v>166</v>
      </c>
    </row>
    <row r="9">
      <c r="A9" s="43" t="s">
        <v>167</v>
      </c>
    </row>
    <row r="11">
      <c r="A11" s="9" t="s">
        <v>168</v>
      </c>
      <c r="B11" s="9" t="s">
        <v>169</v>
      </c>
      <c r="C11" s="9" t="s">
        <v>170</v>
      </c>
      <c r="D11" s="9" t="s">
        <v>64</v>
      </c>
      <c r="E11" s="9" t="s">
        <v>171</v>
      </c>
      <c r="F11" s="9" t="s">
        <v>172</v>
      </c>
      <c r="G11" s="9" t="s">
        <v>173</v>
      </c>
      <c r="H11" s="9" t="s">
        <v>174</v>
      </c>
    </row>
    <row r="12">
      <c r="A12" s="26">
        <v>1.0</v>
      </c>
      <c r="B12" s="44"/>
      <c r="C12" s="44"/>
      <c r="D12" s="44"/>
      <c r="E12" s="44"/>
      <c r="F12" s="44"/>
      <c r="G12" s="44"/>
      <c r="H12" s="44"/>
    </row>
    <row r="13">
      <c r="A13" s="26">
        <v>2.0</v>
      </c>
      <c r="B13" s="44"/>
      <c r="C13" s="44"/>
      <c r="D13" s="44"/>
      <c r="E13" s="44"/>
      <c r="F13" s="44"/>
      <c r="G13" s="44"/>
      <c r="H13" s="44"/>
    </row>
    <row r="14">
      <c r="A14" s="26">
        <v>3.0</v>
      </c>
      <c r="B14" s="44"/>
      <c r="C14" s="44"/>
      <c r="D14" s="44"/>
      <c r="E14" s="44"/>
      <c r="F14" s="44"/>
      <c r="G14" s="44"/>
      <c r="H14" s="44"/>
    </row>
    <row r="15">
      <c r="A15" s="26">
        <v>4.0</v>
      </c>
      <c r="B15" s="44"/>
      <c r="C15" s="44"/>
      <c r="D15" s="44"/>
      <c r="E15" s="44"/>
      <c r="F15" s="44"/>
      <c r="G15" s="44"/>
      <c r="H15" s="44"/>
    </row>
    <row r="16">
      <c r="A16" s="26">
        <v>5.0</v>
      </c>
      <c r="B16" s="44"/>
      <c r="C16" s="44"/>
      <c r="D16" s="44"/>
      <c r="E16" s="44"/>
      <c r="F16" s="44"/>
      <c r="G16" s="44"/>
      <c r="H16" s="44"/>
    </row>
    <row r="17">
      <c r="A17" s="26">
        <v>6.0</v>
      </c>
      <c r="B17" s="44"/>
      <c r="C17" s="44"/>
      <c r="D17" s="44"/>
      <c r="E17" s="44"/>
      <c r="F17" s="44"/>
      <c r="G17" s="44"/>
      <c r="H17" s="44"/>
    </row>
    <row r="18">
      <c r="A18" s="26">
        <v>7.0</v>
      </c>
      <c r="B18" s="44"/>
      <c r="C18" s="44"/>
      <c r="D18" s="44"/>
      <c r="E18" s="44"/>
      <c r="F18" s="44"/>
      <c r="G18" s="44"/>
      <c r="H18" s="44"/>
    </row>
    <row r="19">
      <c r="A19" s="26">
        <v>8.0</v>
      </c>
      <c r="B19" s="44"/>
      <c r="C19" s="44"/>
      <c r="D19" s="44"/>
      <c r="E19" s="44"/>
      <c r="F19" s="44"/>
      <c r="G19" s="44"/>
      <c r="H19" s="44"/>
    </row>
    <row r="20">
      <c r="A20" s="26">
        <v>9.0</v>
      </c>
      <c r="B20" s="44"/>
      <c r="C20" s="44"/>
      <c r="D20" s="44"/>
      <c r="E20" s="44"/>
      <c r="F20" s="44"/>
      <c r="G20" s="44"/>
      <c r="H20" s="44"/>
    </row>
    <row r="21" ht="15.75" customHeight="1">
      <c r="A21" s="26">
        <v>10.0</v>
      </c>
      <c r="B21" s="44"/>
      <c r="C21" s="44"/>
      <c r="D21" s="44"/>
      <c r="E21" s="44"/>
      <c r="F21" s="44"/>
      <c r="G21" s="44"/>
      <c r="H21" s="44"/>
    </row>
    <row r="22" ht="15.75" customHeight="1">
      <c r="A22" s="26">
        <v>11.0</v>
      </c>
      <c r="B22" s="44"/>
      <c r="C22" s="44"/>
      <c r="D22" s="44"/>
      <c r="E22" s="44"/>
      <c r="F22" s="44"/>
      <c r="G22" s="44"/>
      <c r="H22" s="44"/>
    </row>
    <row r="23" ht="15.75" customHeight="1">
      <c r="A23" s="26">
        <v>12.0</v>
      </c>
      <c r="B23" s="44"/>
      <c r="C23" s="44"/>
      <c r="D23" s="44"/>
      <c r="E23" s="44"/>
      <c r="F23" s="44"/>
      <c r="G23" s="44"/>
      <c r="H23" s="44"/>
    </row>
    <row r="24" ht="15.75" customHeight="1">
      <c r="A24" s="26">
        <v>13.0</v>
      </c>
      <c r="B24" s="44"/>
      <c r="C24" s="44"/>
      <c r="D24" s="44"/>
      <c r="E24" s="44"/>
      <c r="F24" s="44"/>
      <c r="G24" s="44"/>
      <c r="H24" s="44"/>
    </row>
    <row r="25" ht="15.75" customHeight="1">
      <c r="A25" s="26">
        <v>14.0</v>
      </c>
      <c r="B25" s="44"/>
      <c r="C25" s="44"/>
      <c r="D25" s="44"/>
      <c r="E25" s="44"/>
      <c r="F25" s="44"/>
      <c r="G25" s="44"/>
      <c r="H25" s="44"/>
    </row>
    <row r="26" ht="15.75" customHeight="1">
      <c r="A26" s="26">
        <v>15.0</v>
      </c>
      <c r="B26" s="44"/>
      <c r="C26" s="44"/>
      <c r="D26" s="44"/>
      <c r="E26" s="44"/>
      <c r="F26" s="44"/>
      <c r="G26" s="44"/>
      <c r="H26" s="4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4:H4"/>
    <mergeCell ref="A5:H5"/>
    <mergeCell ref="A6:H6"/>
    <mergeCell ref="A7:H7"/>
    <mergeCell ref="A8:H8"/>
    <mergeCell ref="A9:H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20.0"/>
    <col customWidth="1" min="4" max="5" width="16.0"/>
    <col customWidth="1" min="6" max="6" width="40.0"/>
    <col customWidth="1" min="7" max="26" width="8.71"/>
  </cols>
  <sheetData>
    <row r="1">
      <c r="A1" s="8" t="s">
        <v>175</v>
      </c>
    </row>
    <row r="2">
      <c r="A2" s="2" t="s">
        <v>176</v>
      </c>
    </row>
    <row r="4">
      <c r="A4" s="9" t="s">
        <v>177</v>
      </c>
      <c r="B4" s="9" t="s">
        <v>178</v>
      </c>
      <c r="C4" s="9" t="s">
        <v>179</v>
      </c>
      <c r="D4" s="9" t="s">
        <v>180</v>
      </c>
      <c r="E4" s="9" t="s">
        <v>181</v>
      </c>
      <c r="F4" s="9" t="s">
        <v>182</v>
      </c>
    </row>
    <row r="5">
      <c r="A5" s="26">
        <v>46.0</v>
      </c>
      <c r="B5" s="33"/>
      <c r="C5" s="18">
        <f t="shared" ref="C5:C17" si="1">192000+B5</f>
        <v>192000</v>
      </c>
      <c r="D5" s="39">
        <f>'Project Summary'!$B$8-('Project Summary'!$B$6-A5)*'Project Summary'!$B$7</f>
        <v>90000</v>
      </c>
      <c r="E5" s="45">
        <f t="shared" ref="E5:E17" si="2">C5+D5</f>
        <v>282000</v>
      </c>
      <c r="F5" s="11"/>
    </row>
    <row r="6">
      <c r="A6" s="26">
        <v>45.0</v>
      </c>
      <c r="B6" s="33"/>
      <c r="C6" s="18">
        <f t="shared" si="1"/>
        <v>192000</v>
      </c>
      <c r="D6" s="39">
        <f>'Project Summary'!$B$8-('Project Summary'!$B$6-A6)*'Project Summary'!$B$7</f>
        <v>85800</v>
      </c>
      <c r="E6" s="45">
        <f t="shared" si="2"/>
        <v>277800</v>
      </c>
      <c r="F6" s="11"/>
    </row>
    <row r="7">
      <c r="A7" s="26">
        <v>44.0</v>
      </c>
      <c r="B7" s="33"/>
      <c r="C7" s="18">
        <f t="shared" si="1"/>
        <v>192000</v>
      </c>
      <c r="D7" s="39">
        <f>'Project Summary'!$B$8-('Project Summary'!$B$6-A7)*'Project Summary'!$B$7</f>
        <v>81600</v>
      </c>
      <c r="E7" s="45">
        <f t="shared" si="2"/>
        <v>273600</v>
      </c>
      <c r="F7" s="11"/>
    </row>
    <row r="8">
      <c r="A8" s="26">
        <v>43.0</v>
      </c>
      <c r="B8" s="33"/>
      <c r="C8" s="18">
        <f t="shared" si="1"/>
        <v>192000</v>
      </c>
      <c r="D8" s="39">
        <f>'Project Summary'!$B$8-('Project Summary'!$B$6-A8)*'Project Summary'!$B$7</f>
        <v>77400</v>
      </c>
      <c r="E8" s="45">
        <f t="shared" si="2"/>
        <v>269400</v>
      </c>
      <c r="F8" s="11"/>
    </row>
    <row r="9">
      <c r="A9" s="26">
        <v>42.0</v>
      </c>
      <c r="B9" s="33"/>
      <c r="C9" s="18">
        <f t="shared" si="1"/>
        <v>192000</v>
      </c>
      <c r="D9" s="39">
        <f>'Project Summary'!$B$8-('Project Summary'!$B$6-A9)*'Project Summary'!$B$7</f>
        <v>73200</v>
      </c>
      <c r="E9" s="45">
        <f t="shared" si="2"/>
        <v>265200</v>
      </c>
      <c r="F9" s="11"/>
    </row>
    <row r="10">
      <c r="A10" s="26">
        <v>41.0</v>
      </c>
      <c r="B10" s="33"/>
      <c r="C10" s="18">
        <f t="shared" si="1"/>
        <v>192000</v>
      </c>
      <c r="D10" s="39">
        <f>'Project Summary'!$B$8-('Project Summary'!$B$6-A10)*'Project Summary'!$B$7</f>
        <v>69000</v>
      </c>
      <c r="E10" s="45">
        <f t="shared" si="2"/>
        <v>261000</v>
      </c>
      <c r="F10" s="11"/>
    </row>
    <row r="11">
      <c r="A11" s="26">
        <v>40.0</v>
      </c>
      <c r="B11" s="33"/>
      <c r="C11" s="18">
        <f t="shared" si="1"/>
        <v>192000</v>
      </c>
      <c r="D11" s="39">
        <f>'Project Summary'!$B$8-('Project Summary'!$B$6-A11)*'Project Summary'!$B$7</f>
        <v>64800</v>
      </c>
      <c r="E11" s="45">
        <f t="shared" si="2"/>
        <v>256800</v>
      </c>
      <c r="F11" s="11"/>
    </row>
    <row r="12">
      <c r="A12" s="26">
        <v>39.0</v>
      </c>
      <c r="B12" s="33"/>
      <c r="C12" s="18">
        <f t="shared" si="1"/>
        <v>192000</v>
      </c>
      <c r="D12" s="39">
        <f>'Project Summary'!$B$8-('Project Summary'!$B$6-A12)*'Project Summary'!$B$7</f>
        <v>60600</v>
      </c>
      <c r="E12" s="45">
        <f t="shared" si="2"/>
        <v>252600</v>
      </c>
      <c r="F12" s="11"/>
    </row>
    <row r="13">
      <c r="A13" s="26">
        <v>38.0</v>
      </c>
      <c r="B13" s="33"/>
      <c r="C13" s="18">
        <f t="shared" si="1"/>
        <v>192000</v>
      </c>
      <c r="D13" s="39">
        <f>'Project Summary'!$B$8-('Project Summary'!$B$6-A13)*'Project Summary'!$B$7</f>
        <v>56400</v>
      </c>
      <c r="E13" s="45">
        <f t="shared" si="2"/>
        <v>248400</v>
      </c>
      <c r="F13" s="11"/>
    </row>
    <row r="14">
      <c r="A14" s="26">
        <v>37.0</v>
      </c>
      <c r="B14" s="33"/>
      <c r="C14" s="18">
        <f t="shared" si="1"/>
        <v>192000</v>
      </c>
      <c r="D14" s="39">
        <f>'Project Summary'!$B$8-('Project Summary'!$B$6-A14)*'Project Summary'!$B$7</f>
        <v>52200</v>
      </c>
      <c r="E14" s="45">
        <f t="shared" si="2"/>
        <v>244200</v>
      </c>
      <c r="F14" s="11"/>
    </row>
    <row r="15">
      <c r="A15" s="26">
        <v>36.0</v>
      </c>
      <c r="B15" s="33"/>
      <c r="C15" s="18">
        <f t="shared" si="1"/>
        <v>192000</v>
      </c>
      <c r="D15" s="39">
        <f>'Project Summary'!$B$8-('Project Summary'!$B$6-A15)*'Project Summary'!$B$7</f>
        <v>48000</v>
      </c>
      <c r="E15" s="45">
        <f t="shared" si="2"/>
        <v>240000</v>
      </c>
      <c r="F15" s="11"/>
    </row>
    <row r="16">
      <c r="A16" s="26">
        <v>35.0</v>
      </c>
      <c r="B16" s="33"/>
      <c r="C16" s="18">
        <f t="shared" si="1"/>
        <v>192000</v>
      </c>
      <c r="D16" s="39">
        <f>'Project Summary'!$B$8-('Project Summary'!$B$6-A16)*'Project Summary'!$B$7</f>
        <v>43800</v>
      </c>
      <c r="E16" s="45">
        <f t="shared" si="2"/>
        <v>235800</v>
      </c>
      <c r="F16" s="11"/>
    </row>
    <row r="17">
      <c r="A17" s="26">
        <v>34.0</v>
      </c>
      <c r="B17" s="33"/>
      <c r="C17" s="18">
        <f t="shared" si="1"/>
        <v>192000</v>
      </c>
      <c r="D17" s="39">
        <f>'Project Summary'!$B$8-('Project Summary'!$B$6-A17)*'Project Summary'!$B$7</f>
        <v>39600</v>
      </c>
      <c r="E17" s="45">
        <f t="shared" si="2"/>
        <v>231600</v>
      </c>
      <c r="F17" s="11"/>
    </row>
    <row r="19">
      <c r="A19" s="21" t="s">
        <v>183</v>
      </c>
      <c r="E19" s="42">
        <f>MIN(E5:E17)</f>
        <v>231600</v>
      </c>
    </row>
    <row r="20">
      <c r="A20" s="21" t="s">
        <v>184</v>
      </c>
      <c r="E20" s="46">
        <f t="array" ref="E20">INDEX(A5:A17,MATCH(MIN(E5:E17),E5:E17,0))</f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19:D19"/>
    <mergeCell ref="A20:D2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3" width="30.0"/>
    <col customWidth="1" min="4" max="26" width="8.71"/>
  </cols>
  <sheetData>
    <row r="1">
      <c r="A1" s="8" t="s">
        <v>185</v>
      </c>
    </row>
    <row r="2">
      <c r="A2" s="2" t="s">
        <v>186</v>
      </c>
    </row>
    <row r="4">
      <c r="A4" s="3" t="s">
        <v>187</v>
      </c>
      <c r="B4" s="4"/>
      <c r="C4" s="5"/>
    </row>
    <row r="5" ht="49.5" customHeight="1">
      <c r="A5" s="47" t="s">
        <v>188</v>
      </c>
      <c r="B5" s="7" t="s">
        <v>189</v>
      </c>
    </row>
    <row r="6" ht="60.0" customHeight="1">
      <c r="A6" s="47" t="s">
        <v>190</v>
      </c>
      <c r="B6" s="7" t="s">
        <v>191</v>
      </c>
    </row>
    <row r="8">
      <c r="A8" s="3" t="s">
        <v>192</v>
      </c>
      <c r="B8" s="4"/>
      <c r="C8" s="5"/>
    </row>
    <row r="9" ht="49.5" customHeight="1">
      <c r="A9" s="47" t="s">
        <v>188</v>
      </c>
      <c r="B9" s="7" t="s">
        <v>193</v>
      </c>
    </row>
    <row r="10" ht="60.0" customHeight="1">
      <c r="A10" s="47" t="s">
        <v>190</v>
      </c>
      <c r="B10" s="7" t="s">
        <v>194</v>
      </c>
    </row>
    <row r="12">
      <c r="A12" s="3" t="s">
        <v>195</v>
      </c>
      <c r="B12" s="4"/>
      <c r="C12" s="5"/>
    </row>
    <row r="13" ht="49.5" customHeight="1">
      <c r="A13" s="47" t="s">
        <v>188</v>
      </c>
      <c r="B13" s="7" t="s">
        <v>196</v>
      </c>
    </row>
    <row r="14" ht="60.0" customHeight="1">
      <c r="A14" s="47" t="s">
        <v>190</v>
      </c>
      <c r="B14" s="7" t="s">
        <v>197</v>
      </c>
    </row>
    <row r="16">
      <c r="A16" s="3" t="s">
        <v>198</v>
      </c>
      <c r="B16" s="4"/>
      <c r="C16" s="5"/>
    </row>
    <row r="17" ht="49.5" customHeight="1">
      <c r="A17" s="47" t="s">
        <v>188</v>
      </c>
      <c r="B17" s="7" t="s">
        <v>199</v>
      </c>
    </row>
    <row r="18" ht="60.0" customHeight="1">
      <c r="A18" s="47" t="s">
        <v>190</v>
      </c>
      <c r="B18" s="7" t="s">
        <v>200</v>
      </c>
    </row>
    <row r="20">
      <c r="A20" s="3" t="s">
        <v>201</v>
      </c>
      <c r="B20" s="4"/>
      <c r="C20" s="5"/>
    </row>
    <row r="21" ht="49.5" customHeight="1">
      <c r="A21" s="47" t="s">
        <v>188</v>
      </c>
      <c r="B21" s="7" t="s">
        <v>202</v>
      </c>
    </row>
    <row r="22" ht="60.0" customHeight="1">
      <c r="A22" s="47" t="s">
        <v>190</v>
      </c>
      <c r="B22" s="7" t="s">
        <v>203</v>
      </c>
    </row>
    <row r="23" ht="15.75" customHeight="1"/>
    <row r="24" ht="15.75" customHeight="1">
      <c r="A24" s="3" t="s">
        <v>204</v>
      </c>
      <c r="B24" s="4"/>
      <c r="C24" s="5"/>
    </row>
    <row r="25" ht="49.5" customHeight="1">
      <c r="A25" s="47" t="s">
        <v>188</v>
      </c>
      <c r="B25" s="7" t="s">
        <v>205</v>
      </c>
    </row>
    <row r="26" ht="60.0" customHeight="1">
      <c r="A26" s="47" t="s">
        <v>190</v>
      </c>
      <c r="B26" s="7" t="s">
        <v>206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C1"/>
    <mergeCell ref="A2:C2"/>
    <mergeCell ref="A4:C4"/>
    <mergeCell ref="B5:C5"/>
    <mergeCell ref="B6:C6"/>
    <mergeCell ref="A8:C8"/>
    <mergeCell ref="B9:C9"/>
    <mergeCell ref="A20:C20"/>
    <mergeCell ref="B21:C21"/>
    <mergeCell ref="B22:C22"/>
    <mergeCell ref="A24:C24"/>
    <mergeCell ref="B25:C25"/>
    <mergeCell ref="B26:C26"/>
    <mergeCell ref="B10:C10"/>
    <mergeCell ref="A12:C12"/>
    <mergeCell ref="B13:C13"/>
    <mergeCell ref="B14:C14"/>
    <mergeCell ref="A16:C16"/>
    <mergeCell ref="B17:C17"/>
    <mergeCell ref="B18:C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2026-05-19T12:30:48Z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